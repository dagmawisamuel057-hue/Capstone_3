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gmawimulugeta\Documents\Data-analytics-2026\pre-week-3\"/>
    </mc:Choice>
  </mc:AlternateContent>
  <xr:revisionPtr revIDLastSave="0" documentId="8_{B801BF0C-42AB-4983-A2AF-9A02665CAE59}" xr6:coauthVersionLast="47" xr6:coauthVersionMax="47" xr10:uidLastSave="{00000000-0000-0000-0000-000000000000}"/>
  <bookViews>
    <workbookView xWindow="2800" yWindow="2800" windowWidth="14400" windowHeight="8210" activeTab="2" xr2:uid="{00000000-000D-0000-FFFF-FFFF00000000}"/>
  </bookViews>
  <sheets>
    <sheet name="by search terms" sheetId="1" r:id="rId1"/>
    <sheet name="by state" sheetId="2" r:id="rId2"/>
    <sheet name="sales region lookup" sheetId="3" r:id="rId3"/>
  </sheets>
  <definedNames>
    <definedName name="_xlnm._FilterDatabase" localSheetId="0" hidden="1">'by search terms'!$A$1:$D$11</definedName>
    <definedName name="_xlnm._FilterDatabase" localSheetId="2" hidden="1">'sales region lookup'!$A$1:$D$11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3" l="1"/>
  <c r="C18" i="3"/>
  <c r="C17" i="3"/>
  <c r="C16" i="3"/>
  <c r="B19" i="3"/>
  <c r="B18" i="3"/>
  <c r="B17" i="3"/>
  <c r="B16" i="3"/>
  <c r="C11" i="3"/>
  <c r="C10" i="3"/>
  <c r="C9" i="3"/>
  <c r="C8" i="3"/>
  <c r="C7" i="3"/>
  <c r="C6" i="3"/>
  <c r="C5" i="3"/>
  <c r="C4" i="3"/>
  <c r="C3" i="3"/>
  <c r="G2" i="3"/>
  <c r="C2" i="3"/>
  <c r="G3" i="3" s="1"/>
  <c r="G1" i="1"/>
  <c r="G4" i="3" l="1"/>
</calcChain>
</file>

<file path=xl/sharedStrings.xml><?xml version="1.0" encoding="utf-8"?>
<sst xmlns="http://schemas.openxmlformats.org/spreadsheetml/2006/main" count="66" uniqueCount="29">
  <si>
    <t>RegionID</t>
  </si>
  <si>
    <t>Region</t>
  </si>
  <si>
    <t>Hamburger</t>
  </si>
  <si>
    <t xml:space="preserve">Milkshake </t>
  </si>
  <si>
    <t># of regions</t>
  </si>
  <si>
    <t>Data range</t>
  </si>
  <si>
    <t>2/1/24 - 2/28/25</t>
  </si>
  <si>
    <t>California</t>
  </si>
  <si>
    <t>Texas</t>
  </si>
  <si>
    <t>Florida</t>
  </si>
  <si>
    <t>New York</t>
  </si>
  <si>
    <t>Illinois</t>
  </si>
  <si>
    <t>Ohio</t>
  </si>
  <si>
    <t>Georgia</t>
  </si>
  <si>
    <t>Pennsylvania</t>
  </si>
  <si>
    <t>Michigan</t>
  </si>
  <si>
    <t>North Carolina</t>
  </si>
  <si>
    <t>When I sorted the Region column Z to A, the RegionID column did not move with the data. This caused the IDs to no longer match the correct states</t>
  </si>
  <si>
    <t>State</t>
  </si>
  <si>
    <t>Sales Region</t>
  </si>
  <si>
    <t>Milkshake</t>
  </si>
  <si>
    <t>Summary</t>
  </si>
  <si>
    <t>West</t>
  </si>
  <si>
    <t>Total States</t>
  </si>
  <si>
    <t>South</t>
  </si>
  <si>
    <t>Avg Hamburger</t>
  </si>
  <si>
    <t>Avg Milkshake</t>
  </si>
  <si>
    <t>Northeast</t>
  </si>
  <si>
    <t>Midwest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</si>
</sst>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9" fontId="3" fillId="0" borderId="0" xfId="0" applyNumberFormat="1" applyFont="1"/>
    <xf numFmtId="0" fontId="4" fillId="0" borderId="0" xfId="0" applyFont="1"/>
    <xf numFmtId="1" fontId="0" fillId="0" borderId="0" xfId="0" applyNumberFormat="1"/>
    <xf numFmtId="9" fontId="0" fillId="0" borderId="0" xfId="0" applyNumberFormat="1"/>
    <xf numFmtId="0" fontId="6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Search Interest by Sales Region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0555555555555552E-2"/>
          <c:y val="0"/>
          <c:w val="0.92944444444444441"/>
          <c:h val="0.889126984126984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Avg Hamburger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'sales region lookup'!$A$16:$A$19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region lookup'!$B$16:$B$19</c:f>
              <c:numCache>
                <c:formatCode>0%</c:formatCode>
                <c:ptCount val="4"/>
                <c:pt idx="0">
                  <c:v>0.76333333333333331</c:v>
                </c:pt>
                <c:pt idx="1">
                  <c:v>0.79500000000000004</c:v>
                </c:pt>
                <c:pt idx="2">
                  <c:v>0.80249999999999999</c:v>
                </c:pt>
                <c:pt idx="3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6-4CCC-A0B8-3DC5E551B02A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Avg Milkshake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dLbl>
              <c:idx val="1"/>
              <c:layout>
                <c:manualLayout>
                  <c:x val="-2.2424621212121212E-2"/>
                  <c:y val="-7.559523809523809E-2"/>
                </c:manualLayout>
              </c:layout>
              <c:spPr>
                <a:solidFill>
                  <a:schemeClr val="accent1">
                    <a:alpha val="0"/>
                  </a:schemeClr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4636919191919193"/>
                      <c:h val="0.175481746031746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F86-4CCC-A0B8-3DC5E551B02A}"/>
                </c:ext>
              </c:extLst>
            </c:dLbl>
            <c:spPr>
              <a:solidFill>
                <a:schemeClr val="accent1">
                  <a:alpha val="0"/>
                </a:schemeClr>
              </a:solidFill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'sales region lookup'!$A$16:$A$19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region lookup'!$C$16:$C$19</c:f>
              <c:numCache>
                <c:formatCode>0%</c:formatCode>
                <c:ptCount val="4"/>
                <c:pt idx="0">
                  <c:v>0.17666666666666667</c:v>
                </c:pt>
                <c:pt idx="1">
                  <c:v>0.16500000000000001</c:v>
                </c:pt>
                <c:pt idx="2">
                  <c:v>0.19</c:v>
                </c:pt>
                <c:pt idx="3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86-4CCC-A0B8-3DC5E551B02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Search Interest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Region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177800</xdr:colOff>
      <xdr:row>2</xdr:row>
      <xdr:rowOff>114300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workbookViewId="0">
      <pane ySplit="1" topLeftCell="A2" activePane="bottomLeft" state="frozen"/>
      <selection pane="bottomLeft" activeCell="B1" sqref="B1:D11"/>
    </sheetView>
  </sheetViews>
  <sheetFormatPr defaultRowHeight="14.5" x14ac:dyDescent="0.35"/>
  <cols>
    <col min="1" max="1" width="12" bestFit="1" customWidth="1"/>
    <col min="2" max="2" width="22" bestFit="1" customWidth="1"/>
    <col min="3" max="4" width="12" bestFit="1" customWidth="1"/>
    <col min="5" max="5" width="12" customWidth="1"/>
    <col min="6" max="6" width="14" bestFit="1" customWidth="1"/>
    <col min="7" max="7" width="17" customWidth="1"/>
    <col min="8" max="9" width="12" customWidth="1"/>
    <col min="10" max="10" width="12" bestFit="1" customWidth="1"/>
    <col min="11" max="11" width="18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F1" s="2" t="s">
        <v>4</v>
      </c>
      <c r="G1" s="2">
        <f>COUNTA(B2:B11)</f>
        <v>10</v>
      </c>
      <c r="J1" s="2" t="s">
        <v>5</v>
      </c>
      <c r="K1" s="2" t="s">
        <v>6</v>
      </c>
    </row>
    <row r="2" spans="1:11" x14ac:dyDescent="0.35">
      <c r="A2">
        <v>1</v>
      </c>
      <c r="B2" t="s">
        <v>7</v>
      </c>
      <c r="C2">
        <v>0.85</v>
      </c>
      <c r="D2">
        <v>0.78</v>
      </c>
    </row>
    <row r="3" spans="1:11" x14ac:dyDescent="0.35">
      <c r="A3">
        <v>2</v>
      </c>
      <c r="B3" t="s">
        <v>8</v>
      </c>
      <c r="C3">
        <v>0.9</v>
      </c>
      <c r="D3">
        <v>0.72</v>
      </c>
    </row>
    <row r="4" spans="1:11" x14ac:dyDescent="0.35">
      <c r="A4">
        <v>3</v>
      </c>
      <c r="B4" t="s">
        <v>9</v>
      </c>
      <c r="C4">
        <v>0.82</v>
      </c>
      <c r="D4">
        <v>0.7</v>
      </c>
    </row>
    <row r="5" spans="1:11" x14ac:dyDescent="0.35">
      <c r="A5">
        <v>4</v>
      </c>
      <c r="B5" t="s">
        <v>10</v>
      </c>
      <c r="C5">
        <v>0.8</v>
      </c>
      <c r="D5">
        <v>0.75</v>
      </c>
    </row>
    <row r="6" spans="1:11" x14ac:dyDescent="0.35">
      <c r="A6">
        <v>5</v>
      </c>
      <c r="B6" t="s">
        <v>11</v>
      </c>
      <c r="C6">
        <v>0.78</v>
      </c>
      <c r="D6">
        <v>0.68</v>
      </c>
    </row>
    <row r="7" spans="1:11" x14ac:dyDescent="0.35">
      <c r="A7">
        <v>6</v>
      </c>
      <c r="B7" t="s">
        <v>12</v>
      </c>
      <c r="C7">
        <v>0.77</v>
      </c>
      <c r="D7">
        <v>0.65</v>
      </c>
    </row>
    <row r="8" spans="1:11" x14ac:dyDescent="0.35">
      <c r="A8">
        <v>7</v>
      </c>
      <c r="B8" t="s">
        <v>13</v>
      </c>
      <c r="C8">
        <v>0.76</v>
      </c>
      <c r="D8">
        <v>0.66</v>
      </c>
    </row>
    <row r="9" spans="1:11" x14ac:dyDescent="0.35">
      <c r="A9">
        <v>8</v>
      </c>
      <c r="B9" t="s">
        <v>14</v>
      </c>
      <c r="C9">
        <v>0.79</v>
      </c>
      <c r="D9">
        <v>0.69</v>
      </c>
    </row>
    <row r="10" spans="1:11" x14ac:dyDescent="0.35">
      <c r="A10">
        <v>9</v>
      </c>
      <c r="B10" t="s">
        <v>15</v>
      </c>
      <c r="C10">
        <v>0.74</v>
      </c>
      <c r="D10">
        <v>0.64</v>
      </c>
    </row>
    <row r="11" spans="1:11" x14ac:dyDescent="0.35">
      <c r="A11">
        <v>10</v>
      </c>
      <c r="B11" t="s">
        <v>16</v>
      </c>
      <c r="C11">
        <v>0.73</v>
      </c>
      <c r="D11">
        <v>0.63</v>
      </c>
    </row>
    <row r="14" spans="1:11" x14ac:dyDescent="0.35">
      <c r="B14" s="1" t="s">
        <v>17</v>
      </c>
    </row>
  </sheetData>
  <autoFilter ref="A1:D11" xr:uid="{00000000-0009-0000-0000-000000000000}">
    <sortState xmlns:xlrd2="http://schemas.microsoft.com/office/spreadsheetml/2017/richdata2" ref="A2:D11">
      <sortCondition ref="A1:A1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8" width="12" customWidth="1"/>
    <col min="9" max="9" width="14" customWidth="1"/>
    <col min="10" max="10" width="12" customWidth="1"/>
    <col min="11" max="11" width="16" bestFit="1" customWidth="1"/>
  </cols>
  <sheetData>
    <row r="1" spans="1:11" x14ac:dyDescent="0.35">
      <c r="A1" s="2" t="s">
        <v>1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</row>
    <row r="2" spans="1:11" x14ac:dyDescent="0.35">
      <c r="A2" s="1" t="s">
        <v>2</v>
      </c>
      <c r="B2">
        <v>0.85</v>
      </c>
      <c r="C2">
        <v>0.9</v>
      </c>
      <c r="D2">
        <v>0.82</v>
      </c>
      <c r="E2">
        <v>0.8</v>
      </c>
      <c r="F2">
        <v>0.78</v>
      </c>
      <c r="G2">
        <v>0.77</v>
      </c>
      <c r="H2">
        <v>0.76</v>
      </c>
      <c r="I2">
        <v>0.79</v>
      </c>
      <c r="J2">
        <v>0.74</v>
      </c>
      <c r="K2">
        <v>0.73</v>
      </c>
    </row>
    <row r="3" spans="1:11" x14ac:dyDescent="0.35">
      <c r="A3" s="1" t="s">
        <v>3</v>
      </c>
      <c r="B3">
        <v>0.78</v>
      </c>
      <c r="C3">
        <v>0.72</v>
      </c>
      <c r="D3">
        <v>0.7</v>
      </c>
      <c r="E3">
        <v>0.75</v>
      </c>
      <c r="F3">
        <v>0.68</v>
      </c>
      <c r="G3">
        <v>0.65</v>
      </c>
      <c r="H3">
        <v>0.66</v>
      </c>
      <c r="I3">
        <v>0.69</v>
      </c>
      <c r="J3">
        <v>0.64</v>
      </c>
      <c r="K3">
        <v>0.63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4.5" x14ac:dyDescent="0.35"/>
  <cols>
    <col min="1" max="1" width="18" customWidth="1"/>
    <col min="2" max="2" width="16" customWidth="1"/>
    <col min="3" max="4" width="14" customWidth="1"/>
    <col min="6" max="7" width="18" customWidth="1"/>
  </cols>
  <sheetData>
    <row r="1" spans="1:7" x14ac:dyDescent="0.35">
      <c r="A1" s="9" t="s">
        <v>18</v>
      </c>
      <c r="B1" s="9" t="s">
        <v>19</v>
      </c>
      <c r="C1" s="9" t="s">
        <v>2</v>
      </c>
      <c r="D1" s="9" t="s">
        <v>20</v>
      </c>
      <c r="E1" s="10"/>
      <c r="F1" s="8" t="s">
        <v>21</v>
      </c>
    </row>
    <row r="2" spans="1:7" x14ac:dyDescent="0.35">
      <c r="A2" s="7" t="s">
        <v>7</v>
      </c>
      <c r="B2" s="7" t="s">
        <v>22</v>
      </c>
      <c r="C2" s="3">
        <f>VLOOKUP(A2,'by search terms'!B:C,2,FALSE)</f>
        <v>0.85</v>
      </c>
      <c r="D2" s="3">
        <v>0.19</v>
      </c>
      <c r="F2" s="4" t="s">
        <v>23</v>
      </c>
      <c r="G2" s="5">
        <f>COUNTA(A2:A11)</f>
        <v>10</v>
      </c>
    </row>
    <row r="3" spans="1:7" x14ac:dyDescent="0.35">
      <c r="A3" s="7" t="s">
        <v>8</v>
      </c>
      <c r="B3" s="7" t="s">
        <v>24</v>
      </c>
      <c r="C3" s="3">
        <f>VLOOKUP(A3,'by search terms'!B:C,2,FALSE)</f>
        <v>0.9</v>
      </c>
      <c r="D3" s="3">
        <v>0.18</v>
      </c>
      <c r="F3" s="4" t="s">
        <v>25</v>
      </c>
      <c r="G3" s="6">
        <f>AVERAGE(C2:C11)</f>
        <v>0.79399999999999993</v>
      </c>
    </row>
    <row r="4" spans="1:7" x14ac:dyDescent="0.35">
      <c r="A4" s="7" t="s">
        <v>9</v>
      </c>
      <c r="B4" s="7" t="s">
        <v>24</v>
      </c>
      <c r="C4" s="3">
        <f>VLOOKUP(A4,'by search terms'!B:C,2,FALSE)</f>
        <v>0.82</v>
      </c>
      <c r="D4" s="3">
        <v>0.2</v>
      </c>
      <c r="F4" s="4" t="s">
        <v>26</v>
      </c>
      <c r="G4" s="6">
        <f>AVERAGE(D2:D11)</f>
        <v>0.18099999999999999</v>
      </c>
    </row>
    <row r="5" spans="1:7" x14ac:dyDescent="0.35">
      <c r="A5" s="7" t="s">
        <v>10</v>
      </c>
      <c r="B5" s="7" t="s">
        <v>27</v>
      </c>
      <c r="C5" s="3">
        <f>VLOOKUP(A5,'by search terms'!B:C,2,FALSE)</f>
        <v>0.8</v>
      </c>
      <c r="D5" s="3">
        <v>0.14000000000000001</v>
      </c>
    </row>
    <row r="6" spans="1:7" x14ac:dyDescent="0.35">
      <c r="A6" s="7" t="s">
        <v>11</v>
      </c>
      <c r="B6" s="7" t="s">
        <v>28</v>
      </c>
      <c r="C6" s="3">
        <f>VLOOKUP(A6,'by search terms'!B:C,2,FALSE)</f>
        <v>0.78</v>
      </c>
      <c r="D6" s="3">
        <v>0.19</v>
      </c>
    </row>
    <row r="7" spans="1:7" x14ac:dyDescent="0.35">
      <c r="A7" s="7" t="s">
        <v>12</v>
      </c>
      <c r="B7" s="7" t="s">
        <v>28</v>
      </c>
      <c r="C7" s="3">
        <f>VLOOKUP(A7,'by search terms'!B:C,2,FALSE)</f>
        <v>0.77</v>
      </c>
      <c r="D7" s="3">
        <v>0.14000000000000001</v>
      </c>
    </row>
    <row r="8" spans="1:7" x14ac:dyDescent="0.35">
      <c r="A8" s="7" t="s">
        <v>13</v>
      </c>
      <c r="B8" s="7" t="s">
        <v>24</v>
      </c>
      <c r="C8" s="3">
        <f>VLOOKUP(A8,'by search terms'!B:C,2,FALSE)</f>
        <v>0.76</v>
      </c>
      <c r="D8" s="3">
        <v>0.17</v>
      </c>
    </row>
    <row r="9" spans="1:7" x14ac:dyDescent="0.35">
      <c r="A9" s="7" t="s">
        <v>14</v>
      </c>
      <c r="B9" s="7" t="s">
        <v>27</v>
      </c>
      <c r="C9" s="3">
        <f>VLOOKUP(A9,'by search terms'!B:C,2,FALSE)</f>
        <v>0.79</v>
      </c>
      <c r="D9" s="3">
        <v>0.19</v>
      </c>
    </row>
    <row r="10" spans="1:7" x14ac:dyDescent="0.35">
      <c r="A10" s="7" t="s">
        <v>15</v>
      </c>
      <c r="B10" s="7" t="s">
        <v>28</v>
      </c>
      <c r="C10" s="3">
        <f>VLOOKUP(A10,'by search terms'!B:C,2,FALSE)</f>
        <v>0.74</v>
      </c>
      <c r="D10" s="3">
        <v>0.2</v>
      </c>
    </row>
    <row r="11" spans="1:7" x14ac:dyDescent="0.35">
      <c r="A11" s="7" t="s">
        <v>16</v>
      </c>
      <c r="B11" s="7" t="s">
        <v>24</v>
      </c>
      <c r="C11" s="3">
        <f>VLOOKUP(A11,'by search terms'!B:C,2,FALSE)</f>
        <v>0.73</v>
      </c>
      <c r="D11" s="3">
        <v>0.21</v>
      </c>
    </row>
    <row r="15" spans="1:7" x14ac:dyDescent="0.35">
      <c r="A15" s="8" t="s">
        <v>19</v>
      </c>
      <c r="B15" s="8" t="s">
        <v>25</v>
      </c>
      <c r="C15" s="8" t="s">
        <v>26</v>
      </c>
      <c r="D15" s="8"/>
      <c r="E15" s="8"/>
      <c r="F15" s="8"/>
      <c r="G15" s="8"/>
    </row>
    <row r="16" spans="1:7" x14ac:dyDescent="0.35">
      <c r="A16" t="s">
        <v>28</v>
      </c>
      <c r="B16" s="6">
        <f>AVERAGEIF($B$2:$B$11,A16,$C$2:$C$11)</f>
        <v>0.76333333333333331</v>
      </c>
      <c r="C16" s="6">
        <f>AVERAGEIF($B$2:$B$11,A16,$D$2:$D$11)</f>
        <v>0.17666666666666667</v>
      </c>
    </row>
    <row r="17" spans="1:3" x14ac:dyDescent="0.35">
      <c r="A17" t="s">
        <v>27</v>
      </c>
      <c r="B17" s="6">
        <f>AVERAGEIF($B$2:$B$11,A17,$C$2:$C$11)</f>
        <v>0.79500000000000004</v>
      </c>
      <c r="C17" s="6">
        <f>AVERAGEIF($B$2:$B$11,A17,$D$2:$D$11)</f>
        <v>0.16500000000000001</v>
      </c>
    </row>
    <row r="18" spans="1:3" x14ac:dyDescent="0.35">
      <c r="A18" t="s">
        <v>24</v>
      </c>
      <c r="B18" s="6">
        <f>AVERAGEIF($B$2:$B$11,A18,$C$2:$C$11)</f>
        <v>0.80249999999999999</v>
      </c>
      <c r="C18" s="6">
        <f>AVERAGEIF($B$2:$B$11,A18,$D$2:$D$11)</f>
        <v>0.19</v>
      </c>
    </row>
    <row r="19" spans="1:3" x14ac:dyDescent="0.35">
      <c r="A19" t="s">
        <v>22</v>
      </c>
      <c r="B19" s="6">
        <f>AVERAGEIF($B$2:$B$11,A19,$C$2:$C$11)</f>
        <v>0.85</v>
      </c>
      <c r="C19" s="6">
        <f>AVERAGEIF($B$2:$B$11,A19,$D$2:$D$11)</f>
        <v>0.19</v>
      </c>
    </row>
  </sheetData>
  <autoFilter ref="A1:D11" xr:uid="{00000000-0009-0000-0000-000002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terms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dagmawi mulugeta</cp:lastModifiedBy>
  <dcterms:created xsi:type="dcterms:W3CDTF">2026-04-08T19:52:49Z</dcterms:created>
  <dcterms:modified xsi:type="dcterms:W3CDTF">2026-04-10T14:50:12Z</dcterms:modified>
</cp:coreProperties>
</file>